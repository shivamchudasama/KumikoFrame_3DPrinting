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_Repo\KumikoFrame_3DPrinting\Shivling\"/>
    </mc:Choice>
  </mc:AlternateContent>
  <xr:revisionPtr revIDLastSave="0" documentId="13_ncr:1_{0888503B-9D86-4DC8-847D-7BA1A38FEB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7" i="1" s="1"/>
  <c r="C18" i="1"/>
  <c r="C14" i="1"/>
  <c r="C1" i="1"/>
  <c r="C23" i="1" l="1"/>
</calcChain>
</file>

<file path=xl/sharedStrings.xml><?xml version="1.0" encoding="utf-8"?>
<sst xmlns="http://schemas.openxmlformats.org/spreadsheetml/2006/main" count="21" uniqueCount="21">
  <si>
    <t>Name of Product</t>
  </si>
  <si>
    <t>Cost for Materials</t>
  </si>
  <si>
    <t>Cost for Pool</t>
  </si>
  <si>
    <t>Grams to Print</t>
  </si>
  <si>
    <t>Grams per Pool</t>
  </si>
  <si>
    <t>Additional Expenses</t>
  </si>
  <si>
    <t>Electricity Cost</t>
  </si>
  <si>
    <t>Time to Print (Hrs)</t>
  </si>
  <si>
    <t>Cost per KWH (INR)</t>
  </si>
  <si>
    <t>Printer Wattage (W)</t>
  </si>
  <si>
    <t>Labor Cost</t>
  </si>
  <si>
    <t>Hourly Cost (INR)</t>
  </si>
  <si>
    <t>Shipping Cost</t>
  </si>
  <si>
    <t>Shipping Supplies Cost</t>
  </si>
  <si>
    <t>Time to Prep (Hrs)</t>
  </si>
  <si>
    <t>Listing Fees</t>
  </si>
  <si>
    <t>Cost</t>
  </si>
  <si>
    <t>Kumiko Shivling</t>
  </si>
  <si>
    <t>Electricity Duty</t>
  </si>
  <si>
    <t>Total Units</t>
  </si>
  <si>
    <t>33x28 Triangles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</si>
</sst>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3" sqref="A3"/>
    </sheetView>
  </sheetViews>
  <sheetFormatPr defaultRowHeight="14.5" x14ac:dyDescent="0.35"/>
  <cols>
    <col min="1" max="1" width="15.08984375" bestFit="1" customWidth="1"/>
    <col min="2" max="2" width="19.54296875" bestFit="1" customWidth="1"/>
  </cols>
  <sheetData>
    <row r="1" spans="1:3" x14ac:dyDescent="0.35">
      <c r="A1" s="1" t="s">
        <v>0</v>
      </c>
      <c r="B1" s="2" t="s">
        <v>1</v>
      </c>
      <c r="C1" s="5">
        <f>((C2/C4)*C3)+C5</f>
        <v>2438.8454999999999</v>
      </c>
    </row>
    <row r="2" spans="1:3" x14ac:dyDescent="0.35">
      <c r="A2" t="s">
        <v>17</v>
      </c>
      <c r="B2" s="3" t="s">
        <v>2</v>
      </c>
      <c r="C2" s="4">
        <v>850</v>
      </c>
    </row>
    <row r="3" spans="1:3" x14ac:dyDescent="0.35">
      <c r="A3" t="s">
        <v>20</v>
      </c>
      <c r="B3" s="3" t="s">
        <v>3</v>
      </c>
      <c r="C3" s="4">
        <v>2869.23</v>
      </c>
    </row>
    <row r="4" spans="1:3" x14ac:dyDescent="0.35">
      <c r="B4" s="3" t="s">
        <v>4</v>
      </c>
      <c r="C4" s="4">
        <v>1000</v>
      </c>
    </row>
    <row r="5" spans="1:3" x14ac:dyDescent="0.35">
      <c r="B5" s="3" t="s">
        <v>5</v>
      </c>
      <c r="C5" s="4">
        <v>0</v>
      </c>
    </row>
    <row r="7" spans="1:3" x14ac:dyDescent="0.35">
      <c r="B7" s="2" t="s">
        <v>6</v>
      </c>
      <c r="C7" s="5">
        <f>((C11*C9)+((C11*C9)*C12))+(1.6*C11)</f>
        <v>465.40500000000003</v>
      </c>
    </row>
    <row r="8" spans="1:3" x14ac:dyDescent="0.35">
      <c r="B8" s="3" t="s">
        <v>7</v>
      </c>
      <c r="C8" s="4">
        <v>106.5</v>
      </c>
    </row>
    <row r="9" spans="1:3" x14ac:dyDescent="0.35">
      <c r="B9" s="3" t="s">
        <v>8</v>
      </c>
      <c r="C9" s="4">
        <v>15</v>
      </c>
    </row>
    <row r="10" spans="1:3" x14ac:dyDescent="0.35">
      <c r="B10" s="3" t="s">
        <v>9</v>
      </c>
      <c r="C10" s="4">
        <v>230</v>
      </c>
    </row>
    <row r="11" spans="1:3" x14ac:dyDescent="0.35">
      <c r="B11" s="3" t="s">
        <v>19</v>
      </c>
      <c r="C11" s="4">
        <f>(C8*C10)/1000</f>
        <v>24.495000000000001</v>
      </c>
    </row>
    <row r="12" spans="1:3" x14ac:dyDescent="0.35">
      <c r="B12" s="3" t="s">
        <v>18</v>
      </c>
      <c r="C12" s="6">
        <v>0.16</v>
      </c>
    </row>
    <row r="14" spans="1:3" x14ac:dyDescent="0.35">
      <c r="B14" s="2" t="s">
        <v>10</v>
      </c>
      <c r="C14" s="5">
        <f>(C15*C16)</f>
        <v>0</v>
      </c>
    </row>
    <row r="15" spans="1:3" x14ac:dyDescent="0.35">
      <c r="B15" s="3" t="s">
        <v>11</v>
      </c>
      <c r="C15" s="4">
        <v>0</v>
      </c>
    </row>
    <row r="16" spans="1:3" x14ac:dyDescent="0.35">
      <c r="B16" s="3" t="s">
        <v>14</v>
      </c>
      <c r="C16" s="4">
        <v>0</v>
      </c>
    </row>
    <row r="18" spans="2:3" x14ac:dyDescent="0.35">
      <c r="B18" s="2" t="s">
        <v>12</v>
      </c>
      <c r="C18" s="5">
        <f>C19</f>
        <v>0</v>
      </c>
    </row>
    <row r="19" spans="2:3" x14ac:dyDescent="0.35">
      <c r="B19" s="3" t="s">
        <v>13</v>
      </c>
      <c r="C19" s="4">
        <v>0</v>
      </c>
    </row>
    <row r="21" spans="2:3" x14ac:dyDescent="0.35">
      <c r="B21" s="2" t="s">
        <v>15</v>
      </c>
      <c r="C21" s="5">
        <v>0</v>
      </c>
    </row>
    <row r="23" spans="2:3" x14ac:dyDescent="0.35">
      <c r="B23" s="2" t="s">
        <v>16</v>
      </c>
      <c r="C23" s="5">
        <f>C1+C7+C14+C18+C21</f>
        <v>2904.2505000000001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shivamkumar chudasama</dc:creator>
  <cp:lastModifiedBy>shivamkumar chudasama</cp:lastModifiedBy>
  <dcterms:created xsi:type="dcterms:W3CDTF">2015-06-05T18:17:20Z</dcterms:created>
  <dcterms:modified xsi:type="dcterms:W3CDTF">2026-07-20T15:53:50Z</dcterms:modified>
</cp:coreProperties>
</file>